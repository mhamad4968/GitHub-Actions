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tmp\トータルネットワークのネットワーク情報管理台帳\"/>
    </mc:Choice>
  </mc:AlternateContent>
  <xr:revisionPtr revIDLastSave="0" documentId="13_ncr:1_{D2B2A79F-CCE8-4BBC-90C2-6136FF8FF1C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一覧表" sheetId="2" r:id="rId1"/>
    <sheet name="IPアドレスレンジマトリックス" sheetId="3" r:id="rId2"/>
  </sheets>
  <definedNames>
    <definedName name="_xlnm.Print_Area" localSheetId="1">IPアドレスレンジマトリックス!$R$4:$S$17</definedName>
    <definedName name="_xlnm.Print_Area" localSheetId="0">一覧表!$B$1:$I$14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2" l="1"/>
  <c r="H12" i="2"/>
  <c r="H11" i="2"/>
  <c r="H10" i="2"/>
  <c r="H9" i="2"/>
  <c r="H8" i="2"/>
  <c r="H7" i="2"/>
  <c r="H6" i="2"/>
  <c r="H5" i="2"/>
  <c r="H4" i="2"/>
  <c r="H3" i="2"/>
  <c r="I18" i="2"/>
  <c r="I17" i="2"/>
  <c r="I16" i="2"/>
</calcChain>
</file>

<file path=xl/sharedStrings.xml><?xml version="1.0" encoding="utf-8"?>
<sst xmlns="http://schemas.openxmlformats.org/spreadsheetml/2006/main" count="291" uniqueCount="231">
  <si>
    <t>拠点名</t>
    <rPh sb="0" eb="2">
      <t>キョテン</t>
    </rPh>
    <rPh sb="2" eb="3">
      <t>メイ</t>
    </rPh>
    <phoneticPr fontId="2"/>
  </si>
  <si>
    <t>サブネットマスク</t>
    <phoneticPr fontId="2"/>
  </si>
  <si>
    <t>255.255.255.240</t>
    <phoneticPr fontId="2"/>
  </si>
  <si>
    <t>10.208.1.0</t>
  </si>
  <si>
    <t>10.208.1.32</t>
  </si>
  <si>
    <t>10.208.1.48</t>
  </si>
  <si>
    <t>10.208.1.64</t>
  </si>
  <si>
    <t>10.208.1.80</t>
  </si>
  <si>
    <t>10.208.1.224</t>
  </si>
  <si>
    <t>10.208.3.128</t>
  </si>
  <si>
    <t>10.208.5.16</t>
  </si>
  <si>
    <t>10.208.5.96</t>
  </si>
  <si>
    <t>10.208.1.18～10.208.1.30</t>
    <phoneticPr fontId="2"/>
  </si>
  <si>
    <t>10.208.1.34～10.208.1.46</t>
    <phoneticPr fontId="2"/>
  </si>
  <si>
    <t>10.208.1.50～10.208.1.62</t>
    <phoneticPr fontId="2"/>
  </si>
  <si>
    <t>10.208.1.66～10.208.1.78</t>
    <phoneticPr fontId="2"/>
  </si>
  <si>
    <t>10.208.1.82～10.208.1.94</t>
    <phoneticPr fontId="2"/>
  </si>
  <si>
    <t>10.208.1.226～10.208.1.238</t>
    <phoneticPr fontId="2"/>
  </si>
  <si>
    <t>10.208.3.130～10.208.3.142</t>
    <phoneticPr fontId="2"/>
  </si>
  <si>
    <t>10.208.5.18～10.208.5.30</t>
    <phoneticPr fontId="2"/>
  </si>
  <si>
    <t>10.208.5.98～10.208.5.110</t>
    <phoneticPr fontId="2"/>
  </si>
  <si>
    <t>IP数</t>
    <rPh sb="2" eb="3">
      <t>スウ</t>
    </rPh>
    <phoneticPr fontId="2"/>
  </si>
  <si>
    <t>秋田営業所</t>
  </si>
  <si>
    <t>盛岡営業所</t>
  </si>
  <si>
    <t>長野営業所</t>
  </si>
  <si>
    <t>高崎営業所</t>
  </si>
  <si>
    <t>水戸営業所</t>
  </si>
  <si>
    <t>千葉営業所</t>
  </si>
  <si>
    <t>複合機</t>
    <rPh sb="0" eb="3">
      <t>フクゴウキ</t>
    </rPh>
    <phoneticPr fontId="2"/>
  </si>
  <si>
    <t>255.255.255.240</t>
  </si>
  <si>
    <t>東北支店</t>
    <rPh sb="0" eb="2">
      <t>トウホク</t>
    </rPh>
    <phoneticPr fontId="2"/>
  </si>
  <si>
    <t>仙台営業所</t>
  </si>
  <si>
    <t>関越支店</t>
    <rPh sb="2" eb="4">
      <t>カンエツシテン</t>
    </rPh>
    <phoneticPr fontId="2"/>
  </si>
  <si>
    <t>新潟営業所</t>
    <rPh sb="2" eb="5">
      <t>エイギョウショ</t>
    </rPh>
    <phoneticPr fontId="2"/>
  </si>
  <si>
    <t>東京支店</t>
  </si>
  <si>
    <t>10.208.1.2</t>
    <phoneticPr fontId="2"/>
  </si>
  <si>
    <t>10.208.1.3</t>
  </si>
  <si>
    <t>10.208.1.4</t>
  </si>
  <si>
    <t>10.208.1.5</t>
  </si>
  <si>
    <t>10.208.1.6</t>
  </si>
  <si>
    <t>10.208.1.7</t>
  </si>
  <si>
    <t>10.208.1.8</t>
  </si>
  <si>
    <t>10.208.1.9</t>
    <phoneticPr fontId="2"/>
  </si>
  <si>
    <t>10.208.1.11</t>
  </si>
  <si>
    <t>10.208.1.12</t>
  </si>
  <si>
    <t>10.208.1.13</t>
  </si>
  <si>
    <t>10.208.1.14</t>
  </si>
  <si>
    <t>10.208.1.66</t>
    <phoneticPr fontId="2"/>
  </si>
  <si>
    <t>10.208.1.67</t>
  </si>
  <si>
    <t>10.208.1.68</t>
  </si>
  <si>
    <t>10.208.1.69</t>
  </si>
  <si>
    <t>10.208.1.70</t>
  </si>
  <si>
    <t>10.208.1.71</t>
  </si>
  <si>
    <t>10.208.1.72</t>
  </si>
  <si>
    <t>10.208.1.73</t>
  </si>
  <si>
    <t>10.208.1.74</t>
  </si>
  <si>
    <t>10.208.1.75</t>
  </si>
  <si>
    <t>10.208.1.76</t>
  </si>
  <si>
    <t>10.208.1.77</t>
  </si>
  <si>
    <t>10.208.1.78</t>
  </si>
  <si>
    <t>10.208.1.16</t>
    <phoneticPr fontId="2"/>
  </si>
  <si>
    <t>10.208.1.18</t>
    <phoneticPr fontId="2"/>
  </si>
  <si>
    <t>10.208.1.19</t>
  </si>
  <si>
    <t>10.208.1.20</t>
  </si>
  <si>
    <t>10.208.1.21</t>
  </si>
  <si>
    <t>10.208.1.22</t>
  </si>
  <si>
    <t>10.208.1.23</t>
  </si>
  <si>
    <t>10.208.1.24</t>
  </si>
  <si>
    <t>10.208.1.25</t>
  </si>
  <si>
    <t>10.208.1.26</t>
  </si>
  <si>
    <t>10.208.1.27</t>
  </si>
  <si>
    <t>10.208.1.28</t>
  </si>
  <si>
    <t>10.208.1.29</t>
  </si>
  <si>
    <t>10.208.1.30</t>
  </si>
  <si>
    <t>10.208.5.18</t>
    <phoneticPr fontId="2"/>
  </si>
  <si>
    <t>10.208.5.19</t>
  </si>
  <si>
    <t>10.208.5.20</t>
  </si>
  <si>
    <t>10.208.5.21</t>
  </si>
  <si>
    <t>10.208.5.22</t>
  </si>
  <si>
    <t>10.208.5.23</t>
  </si>
  <si>
    <t>10.208.5.24</t>
  </si>
  <si>
    <t>10.208.5.25</t>
  </si>
  <si>
    <t>10.208.5.26</t>
  </si>
  <si>
    <t>10.208.5.27</t>
  </si>
  <si>
    <t>10.208.5.28</t>
  </si>
  <si>
    <t>10.208.5.29</t>
  </si>
  <si>
    <t>10.208.5.30</t>
  </si>
  <si>
    <t>10.208.1.82</t>
    <phoneticPr fontId="2"/>
  </si>
  <si>
    <t>10.208.1.83</t>
  </si>
  <si>
    <t>10.208.1.84</t>
  </si>
  <si>
    <t>10.208.1.85</t>
  </si>
  <si>
    <t>10.208.1.86</t>
  </si>
  <si>
    <t>10.208.1.87</t>
  </si>
  <si>
    <t>10.208.1.88</t>
  </si>
  <si>
    <t>10.208.1.89</t>
  </si>
  <si>
    <t>10.208.1.90</t>
  </si>
  <si>
    <t>10.208.1.91</t>
  </si>
  <si>
    <t>10.208.1.92</t>
  </si>
  <si>
    <t>10.208.1.93</t>
  </si>
  <si>
    <t>10.208.1.94</t>
  </si>
  <si>
    <t>10.208.3.130</t>
    <phoneticPr fontId="2"/>
  </si>
  <si>
    <t>10.208.3.131</t>
  </si>
  <si>
    <t>10.208.3.132</t>
  </si>
  <si>
    <t>10.208.3.133</t>
  </si>
  <si>
    <t>10.208.3.134</t>
  </si>
  <si>
    <t>10.208.3.135</t>
  </si>
  <si>
    <t>10.208.3.136</t>
  </si>
  <si>
    <t>10.208.3.137</t>
  </si>
  <si>
    <t>10.208.3.138</t>
  </si>
  <si>
    <t>10.208.3.139</t>
  </si>
  <si>
    <t>10.208.3.140</t>
  </si>
  <si>
    <t>10.208.3.141</t>
  </si>
  <si>
    <t>10.208.3.142</t>
  </si>
  <si>
    <t>10.208.1.50</t>
    <phoneticPr fontId="2"/>
  </si>
  <si>
    <t>10.208.1.51</t>
  </si>
  <si>
    <t>10.208.1.52</t>
  </si>
  <si>
    <t>10.208.1.53</t>
  </si>
  <si>
    <t>10.208.1.54</t>
  </si>
  <si>
    <t>10.208.1.55</t>
  </si>
  <si>
    <t>10.208.1.56</t>
  </si>
  <si>
    <t>10.208.1.57</t>
  </si>
  <si>
    <t>10.208.1.58</t>
  </si>
  <si>
    <t>10.208.1.59</t>
  </si>
  <si>
    <t>10.208.1.60</t>
  </si>
  <si>
    <t>10.208.1.61</t>
  </si>
  <si>
    <t>10.208.1.62</t>
  </si>
  <si>
    <t>10.208.1.34</t>
    <phoneticPr fontId="2"/>
  </si>
  <si>
    <t>10.208.1.35</t>
  </si>
  <si>
    <t>10.208.1.36</t>
  </si>
  <si>
    <t>10.208.1.37</t>
  </si>
  <si>
    <t>10.208.1.38</t>
  </si>
  <si>
    <t>10.208.1.39</t>
  </si>
  <si>
    <t>10.208.1.40</t>
  </si>
  <si>
    <t>10.208.1.41</t>
  </si>
  <si>
    <t>10.208.1.42</t>
  </si>
  <si>
    <t>10.208.1.43</t>
  </si>
  <si>
    <t>10.208.1.44</t>
  </si>
  <si>
    <t>10.208.1.45</t>
  </si>
  <si>
    <t>10.208.1.46</t>
  </si>
  <si>
    <t>10.208.1.226</t>
    <phoneticPr fontId="2"/>
  </si>
  <si>
    <t>10.208.5.98</t>
    <phoneticPr fontId="2"/>
  </si>
  <si>
    <t>10.208.1.227</t>
  </si>
  <si>
    <t>10.208.1.228</t>
  </si>
  <si>
    <t>10.208.1.229</t>
  </si>
  <si>
    <t>10.208.1.230</t>
  </si>
  <si>
    <t>10.208.1.231</t>
  </si>
  <si>
    <t>10.208.1.232</t>
  </si>
  <si>
    <t>10.208.1.233</t>
  </si>
  <si>
    <t>10.208.1.234</t>
  </si>
  <si>
    <t>10.208.1.235</t>
  </si>
  <si>
    <t>10.208.1.236</t>
  </si>
  <si>
    <t>10.208.1.237</t>
  </si>
  <si>
    <t>10.208.1.238</t>
  </si>
  <si>
    <t>10.208.5.99</t>
  </si>
  <si>
    <t>10.208.5.100</t>
  </si>
  <si>
    <t>10.208.5.101</t>
  </si>
  <si>
    <t>10.208.5.102</t>
  </si>
  <si>
    <t>10.208.5.103</t>
  </si>
  <si>
    <t>10.208.5.104</t>
  </si>
  <si>
    <t>10.208.5.105</t>
  </si>
  <si>
    <t>10.208.5.106</t>
  </si>
  <si>
    <t>10.208.5.107</t>
  </si>
  <si>
    <t>10.208.5.108</t>
  </si>
  <si>
    <t>10.208.5.109</t>
  </si>
  <si>
    <t>10.208.5.110</t>
  </si>
  <si>
    <t>＝空IPアドレス</t>
    <rPh sb="1" eb="2">
      <t>ア</t>
    </rPh>
    <phoneticPr fontId="2"/>
  </si>
  <si>
    <t>IPアドレスレンジマトリックス</t>
  </si>
  <si>
    <t>ゲートウエイ</t>
    <phoneticPr fontId="2"/>
  </si>
  <si>
    <t>優先DNS</t>
    <rPh sb="0" eb="2">
      <t>ユウセン</t>
    </rPh>
    <phoneticPr fontId="2"/>
  </si>
  <si>
    <t>代替DNS</t>
    <rPh sb="0" eb="2">
      <t>ダイタイ</t>
    </rPh>
    <phoneticPr fontId="2"/>
  </si>
  <si>
    <t>10.208.1.81</t>
    <phoneticPr fontId="2"/>
  </si>
  <si>
    <t>10.208.1.1</t>
  </si>
  <si>
    <t>10.208.1.1</t>
    <phoneticPr fontId="2"/>
  </si>
  <si>
    <t>10.208.1.17</t>
    <phoneticPr fontId="2"/>
  </si>
  <si>
    <t>10.208.1.65</t>
    <phoneticPr fontId="2"/>
  </si>
  <si>
    <t>10.208.5.17</t>
    <phoneticPr fontId="2"/>
  </si>
  <si>
    <t>10.208.3.129</t>
    <phoneticPr fontId="2"/>
  </si>
  <si>
    <t>10.208.1.49</t>
    <phoneticPr fontId="2"/>
  </si>
  <si>
    <t>10.208.1.33</t>
    <phoneticPr fontId="2"/>
  </si>
  <si>
    <t>10.208.1.225</t>
    <phoneticPr fontId="2"/>
  </si>
  <si>
    <t>10.208.5.97</t>
    <phoneticPr fontId="2"/>
  </si>
  <si>
    <t>ネットワーク
アドレス</t>
    <phoneticPr fontId="2"/>
  </si>
  <si>
    <t>157.71.21.41</t>
  </si>
  <si>
    <t>157.71.21.41</t>
    <phoneticPr fontId="2"/>
  </si>
  <si>
    <t>＝利用しているIPアドレス</t>
    <rPh sb="1" eb="3">
      <t>リヨウ</t>
    </rPh>
    <phoneticPr fontId="2"/>
  </si>
  <si>
    <t>10.208.1.10</t>
    <phoneticPr fontId="2"/>
  </si>
  <si>
    <t>（株)J-BISメンテナンス　東北支店</t>
    <rPh sb="15" eb="17">
      <t>トウホク</t>
    </rPh>
    <phoneticPr fontId="2"/>
  </si>
  <si>
    <t>（株)J-BISメンテナンス　仙台営業所</t>
    <phoneticPr fontId="2"/>
  </si>
  <si>
    <t>（株)J-BISメンテナンス　秋田営業所</t>
    <phoneticPr fontId="2"/>
  </si>
  <si>
    <t>（株)J-BISメンテナンス　盛岡営業所</t>
    <phoneticPr fontId="2"/>
  </si>
  <si>
    <t>（株)J-BISメンテナンス　関越支店</t>
    <rPh sb="17" eb="19">
      <t>カンエツシテン</t>
    </rPh>
    <phoneticPr fontId="2"/>
  </si>
  <si>
    <t>（株)J-BISメンテナンス　新潟営業所</t>
    <rPh sb="17" eb="20">
      <t>エイギョウショ</t>
    </rPh>
    <phoneticPr fontId="2"/>
  </si>
  <si>
    <t>（株)J-BISメンテナンス　高崎営業所</t>
    <phoneticPr fontId="2"/>
  </si>
  <si>
    <t>（株)J-BISメンテナンス　長野営業所</t>
    <phoneticPr fontId="2"/>
  </si>
  <si>
    <t>（株)J-BISメンテナンス　東京支店</t>
    <phoneticPr fontId="2"/>
  </si>
  <si>
    <t>（株)J-BISメンテナンス　水戸営業所</t>
    <phoneticPr fontId="2"/>
  </si>
  <si>
    <t>（株)J-BISメンテナンス　千葉営業所</t>
    <phoneticPr fontId="2"/>
  </si>
  <si>
    <t>（株)J-BISメンテナンス　湾岸工事所</t>
    <rPh sb="15" eb="17">
      <t>ワンガン</t>
    </rPh>
    <rPh sb="17" eb="20">
      <t>コウジショ</t>
    </rPh>
    <phoneticPr fontId="2"/>
  </si>
  <si>
    <t>湾岸工事所</t>
    <rPh sb="0" eb="5">
      <t>ワンガンコウジショ</t>
    </rPh>
    <phoneticPr fontId="2"/>
  </si>
  <si>
    <t>10.208.2.18</t>
  </si>
  <si>
    <t>10.208.2.19</t>
  </si>
  <si>
    <t>10.208.2.20</t>
  </si>
  <si>
    <t>10.208.2.21</t>
  </si>
  <si>
    <t>10.208.2.22</t>
  </si>
  <si>
    <t>10.208.2.23</t>
  </si>
  <si>
    <t>10.208.2.24</t>
  </si>
  <si>
    <t>10.208.2.25</t>
  </si>
  <si>
    <t>10.208.2.26</t>
  </si>
  <si>
    <t>10.208.2.27</t>
  </si>
  <si>
    <t>10.208.2.17</t>
    <phoneticPr fontId="2"/>
  </si>
  <si>
    <t>ノートPC</t>
  </si>
  <si>
    <t>ノートPC</t>
    <phoneticPr fontId="2"/>
  </si>
  <si>
    <t>トータルネットワーク　IP範囲情報</t>
    <rPh sb="13" eb="15">
      <t>ハンイ</t>
    </rPh>
    <rPh sb="15" eb="17">
      <t>ジョウホウ</t>
    </rPh>
    <phoneticPr fontId="2"/>
  </si>
  <si>
    <t>※東北支店と仙台営業所は同建物かつフロアが同じ</t>
    <rPh sb="1" eb="5">
      <t>トウホクシテン</t>
    </rPh>
    <rPh sb="6" eb="11">
      <t>センダイエイギョウショ</t>
    </rPh>
    <rPh sb="12" eb="13">
      <t>ドウ</t>
    </rPh>
    <rPh sb="13" eb="15">
      <t>タテモノ</t>
    </rPh>
    <rPh sb="21" eb="22">
      <t>オナ</t>
    </rPh>
    <phoneticPr fontId="2"/>
  </si>
  <si>
    <t>備考</t>
    <rPh sb="0" eb="2">
      <t>ビコウ</t>
    </rPh>
    <phoneticPr fontId="2"/>
  </si>
  <si>
    <t>住所</t>
    <rPh sb="0" eb="2">
      <t>ジュウショ</t>
    </rPh>
    <phoneticPr fontId="2"/>
  </si>
  <si>
    <t>〒980-0811
宮城県仙台市青葉区一番町2-2-13 仙建ビル8F</t>
    <phoneticPr fontId="2"/>
  </si>
  <si>
    <t>〒010-0001
秋田県秋田市中通4-17-12 一建ビル内</t>
    <phoneticPr fontId="2"/>
  </si>
  <si>
    <t>〒020-0026
岩手県盛岡市開運橋通3-38 開運橋スクエア4F</t>
    <phoneticPr fontId="2"/>
  </si>
  <si>
    <t>〒336-0017
埼玉県さいたま市南区南浦和2-41-4 つばさビル 6F</t>
    <phoneticPr fontId="2"/>
  </si>
  <si>
    <t>〒950-0916
新潟県新潟市中央区米山4-17-3 プラスパービル 1F</t>
    <phoneticPr fontId="2"/>
  </si>
  <si>
    <t>〒380-0935
長野県長野市中御所1-9-8</t>
    <phoneticPr fontId="2"/>
  </si>
  <si>
    <t>〒370-0044
群馬県高崎市和田町2-7 クオリアコート和田町 1F</t>
    <phoneticPr fontId="2"/>
  </si>
  <si>
    <t>〒101-0044
東京都千代田区鍛冶町2-6-1 堀内ビルディング 6F</t>
    <phoneticPr fontId="2"/>
  </si>
  <si>
    <t>〒310-0801
茨城県水戸市桜川2-4-17 前田ビル 201号</t>
    <phoneticPr fontId="2"/>
  </si>
  <si>
    <t>〒260-0044
千葉県千葉市中央区松波1丁目11-3 石橋松波ビル 2F</t>
    <phoneticPr fontId="2"/>
  </si>
  <si>
    <t>〒140-0001
東京都品川区北品川 3 丁目 6-6 ACN 品川御殿山ビル1F</t>
    <phoneticPr fontId="2"/>
  </si>
  <si>
    <t>IPアドレス範囲</t>
    <rPh sb="6" eb="8">
      <t>ハンイ</t>
    </rPh>
    <phoneticPr fontId="2"/>
  </si>
  <si>
    <t>10.208.1.2～10.208.1.8</t>
    <phoneticPr fontId="2"/>
  </si>
  <si>
    <t>10.208.1.9～10.208.1.14</t>
    <phoneticPr fontId="2"/>
  </si>
  <si>
    <t>10.208.2.18～10.208.2.30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</si>
</sst>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Yu Gothic"/>
      <family val="2"/>
      <scheme val="minor"/>
    </font>
    <font>
      <sz val="11"/>
      <color indexed="8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2"/>
      <color theme="1"/>
      <name val="Yu Gothic"/>
      <family val="2"/>
      <scheme val="minor"/>
    </font>
    <font>
      <b/>
      <sz val="12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sz val="12"/>
      <color rgb="FFFF0000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11"/>
      <color theme="1"/>
      <name val="BIZ UDPゴシック"/>
      <family val="3"/>
      <charset val="128"/>
    </font>
    <font>
      <b/>
      <sz val="18"/>
      <color theme="1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4"/>
      <color theme="1"/>
      <name val="BIZ UDP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74">
    <xf numFmtId="0" fontId="0" fillId="0" borderId="0" xfId="0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9" xfId="1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4" fillId="0" borderId="7" xfId="1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4" fillId="0" borderId="7" xfId="2" applyFont="1" applyBorder="1" applyAlignment="1">
      <alignment vertical="center" wrapText="1"/>
    </xf>
    <xf numFmtId="0" fontId="4" fillId="0" borderId="11" xfId="2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8" fillId="0" borderId="12" xfId="0" applyFont="1" applyBorder="1" applyAlignment="1">
      <alignment horizontal="left" vertical="center" indent="1"/>
    </xf>
    <xf numFmtId="0" fontId="10" fillId="2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 indent="1"/>
    </xf>
    <xf numFmtId="0" fontId="4" fillId="0" borderId="11" xfId="1" applyFont="1" applyBorder="1" applyAlignment="1">
      <alignment vertical="center" wrapText="1"/>
    </xf>
    <xf numFmtId="0" fontId="5" fillId="0" borderId="12" xfId="0" applyFont="1" applyBorder="1" applyAlignment="1">
      <alignment horizontal="left" vertical="center" indent="1"/>
    </xf>
    <xf numFmtId="0" fontId="4" fillId="0" borderId="17" xfId="2" applyFont="1" applyBorder="1" applyAlignment="1">
      <alignment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 indent="1"/>
    </xf>
    <xf numFmtId="0" fontId="4" fillId="0" borderId="17" xfId="1" applyFont="1" applyBorder="1" applyAlignment="1">
      <alignment vertical="center" wrapText="1"/>
    </xf>
    <xf numFmtId="0" fontId="5" fillId="0" borderId="20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5" fillId="0" borderId="21" xfId="0" applyFont="1" applyBorder="1" applyAlignment="1">
      <alignment horizontal="left" vertical="center" indent="1"/>
    </xf>
    <xf numFmtId="0" fontId="5" fillId="0" borderId="19" xfId="0" applyFont="1" applyBorder="1" applyAlignment="1">
      <alignment horizontal="left" vertical="center" indent="1"/>
    </xf>
    <xf numFmtId="0" fontId="8" fillId="0" borderId="21" xfId="0" applyFont="1" applyBorder="1" applyAlignment="1">
      <alignment horizontal="left" vertical="center" indent="1"/>
    </xf>
    <xf numFmtId="0" fontId="5" fillId="0" borderId="14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4" fillId="0" borderId="15" xfId="1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indent="1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24" xfId="0" applyFont="1" applyBorder="1" applyAlignment="1">
      <alignment horizontal="left" vertical="center" indent="1"/>
    </xf>
    <xf numFmtId="0" fontId="5" fillId="0" borderId="14" xfId="0" applyFont="1" applyBorder="1" applyAlignment="1">
      <alignment horizontal="left" vertical="center" indent="1"/>
    </xf>
    <xf numFmtId="0" fontId="5" fillId="0" borderId="28" xfId="0" applyFont="1" applyBorder="1" applyAlignment="1">
      <alignment horizontal="left" vertical="center" indent="1"/>
    </xf>
    <xf numFmtId="0" fontId="9" fillId="0" borderId="22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0" xfId="0" applyFont="1" applyFill="1"/>
    <xf numFmtId="0" fontId="10" fillId="3" borderId="0" xfId="0" applyFont="1" applyFill="1" applyAlignment="1">
      <alignment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vertical="center"/>
    </xf>
    <xf numFmtId="0" fontId="10" fillId="3" borderId="7" xfId="0" applyFont="1" applyFill="1" applyBorder="1" applyAlignment="1">
      <alignment horizontal="left" vertical="center"/>
    </xf>
    <xf numFmtId="0" fontId="12" fillId="3" borderId="13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vertical="center"/>
    </xf>
    <xf numFmtId="0" fontId="11" fillId="3" borderId="0" xfId="0" applyFont="1" applyFill="1" applyAlignment="1">
      <alignment horizontal="left" vertical="center" indent="1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/>
    <xf numFmtId="0" fontId="12" fillId="3" borderId="0" xfId="0" quotePrefix="1" applyFont="1" applyFill="1" applyAlignment="1">
      <alignment horizontal="left" vertical="center" indent="1"/>
    </xf>
    <xf numFmtId="0" fontId="12" fillId="2" borderId="15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3" borderId="10" xfId="0" quotePrefix="1" applyFont="1" applyFill="1" applyBorder="1" applyAlignment="1">
      <alignment horizontal="left" vertical="center" indent="1"/>
    </xf>
    <xf numFmtId="0" fontId="12" fillId="3" borderId="0" xfId="0" quotePrefix="1" applyFont="1" applyFill="1" applyAlignment="1">
      <alignment horizontal="left" vertical="center" indent="1"/>
    </xf>
    <xf numFmtId="0" fontId="13" fillId="3" borderId="25" xfId="0" applyFont="1" applyFill="1" applyBorder="1" applyAlignment="1">
      <alignment horizontal="center" vertical="center"/>
    </xf>
    <xf numFmtId="0" fontId="13" fillId="3" borderId="30" xfId="0" applyFont="1" applyFill="1" applyBorder="1" applyAlignment="1">
      <alignment horizontal="center" vertical="center"/>
    </xf>
  </cellXfs>
  <cellStyles count="3">
    <cellStyle name="標準" xfId="0" builtinId="0"/>
    <cellStyle name="標準_Sheet1" xfId="1" xr:uid="{062B06CC-BF58-43D0-8842-BEB62AB00A70}"/>
    <cellStyle name="標準_Sheet1_1" xfId="2" xr:uid="{7B26E67A-8B20-41B8-80F3-AD4882F07A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38A6-7F35-4D80-925F-04CBF2F5571B}">
  <sheetPr>
    <pageSetUpPr fitToPage="1"/>
  </sheetPr>
  <dimension ref="B1:K18"/>
  <sheetViews>
    <sheetView tabSelected="1" topLeftCell="B1" workbookViewId="0">
      <pane ySplit="2" topLeftCell="A3" activePane="bottomLeft" state="frozen"/>
      <selection activeCell="E23" sqref="E23"/>
      <selection pane="bottomLeft" activeCell="H14" sqref="H14"/>
    </sheetView>
  </sheetViews>
  <sheetFormatPr defaultRowHeight="19.5"/>
  <cols>
    <col min="1" max="1" width="1.25" style="1" customWidth="1"/>
    <col min="2" max="2" width="34" style="1" customWidth="1"/>
    <col min="3" max="3" width="15.375" style="1" bestFit="1" customWidth="1"/>
    <col min="4" max="4" width="18.375" style="3" bestFit="1" customWidth="1"/>
    <col min="5" max="5" width="15.375" style="3" bestFit="1" customWidth="1"/>
    <col min="6" max="7" width="19.125" style="3" customWidth="1"/>
    <col min="8" max="8" width="5.75" style="1" customWidth="1"/>
    <col min="9" max="9" width="30.5" style="1" bestFit="1" customWidth="1"/>
    <col min="10" max="10" width="49.625" style="1" customWidth="1"/>
    <col min="11" max="11" width="51.875" style="1" bestFit="1" customWidth="1"/>
    <col min="12" max="12" width="32.75" style="1" bestFit="1" customWidth="1"/>
    <col min="13" max="16384" width="9" style="1"/>
  </cols>
  <sheetData>
    <row r="1" spans="2:11" ht="24.75" thickBot="1">
      <c r="B1" s="2" t="s">
        <v>212</v>
      </c>
    </row>
    <row r="2" spans="2:11" s="3" customFormat="1" ht="39.75" thickBot="1">
      <c r="B2" s="33" t="s">
        <v>0</v>
      </c>
      <c r="C2" s="34" t="s">
        <v>181</v>
      </c>
      <c r="D2" s="35" t="s">
        <v>1</v>
      </c>
      <c r="E2" s="35" t="s">
        <v>167</v>
      </c>
      <c r="F2" s="35" t="s">
        <v>168</v>
      </c>
      <c r="G2" s="35" t="s">
        <v>169</v>
      </c>
      <c r="H2" s="35" t="s">
        <v>21</v>
      </c>
      <c r="I2" s="36" t="s">
        <v>227</v>
      </c>
      <c r="J2" s="37" t="s">
        <v>215</v>
      </c>
      <c r="K2" s="37" t="s">
        <v>214</v>
      </c>
    </row>
    <row r="3" spans="2:11" ht="34.5" customHeight="1">
      <c r="B3" s="31" t="s">
        <v>186</v>
      </c>
      <c r="C3" s="17" t="s">
        <v>3</v>
      </c>
      <c r="D3" s="16" t="s">
        <v>2</v>
      </c>
      <c r="E3" s="17" t="s">
        <v>172</v>
      </c>
      <c r="F3" s="16" t="s">
        <v>183</v>
      </c>
      <c r="G3" s="16" t="s">
        <v>182</v>
      </c>
      <c r="H3" s="16">
        <f>8-2</f>
        <v>6</v>
      </c>
      <c r="I3" s="32" t="s">
        <v>228</v>
      </c>
      <c r="J3" s="43" t="s">
        <v>216</v>
      </c>
      <c r="K3" s="40" t="s">
        <v>213</v>
      </c>
    </row>
    <row r="4" spans="2:11" ht="34.5" customHeight="1">
      <c r="B4" s="4" t="s">
        <v>188</v>
      </c>
      <c r="C4" s="11" t="s">
        <v>6</v>
      </c>
      <c r="D4" s="5" t="s">
        <v>2</v>
      </c>
      <c r="E4" s="11" t="s">
        <v>174</v>
      </c>
      <c r="F4" s="5" t="s">
        <v>182</v>
      </c>
      <c r="G4" s="5" t="s">
        <v>182</v>
      </c>
      <c r="H4" s="5">
        <f>78-66</f>
        <v>12</v>
      </c>
      <c r="I4" s="24" t="s">
        <v>15</v>
      </c>
      <c r="J4" s="44" t="s">
        <v>217</v>
      </c>
      <c r="K4" s="41"/>
    </row>
    <row r="5" spans="2:11" ht="34.5" customHeight="1">
      <c r="B5" s="6" t="s">
        <v>189</v>
      </c>
      <c r="C5" s="12" t="s">
        <v>60</v>
      </c>
      <c r="D5" s="7" t="s">
        <v>2</v>
      </c>
      <c r="E5" s="12" t="s">
        <v>173</v>
      </c>
      <c r="F5" s="7" t="s">
        <v>182</v>
      </c>
      <c r="G5" s="7" t="s">
        <v>182</v>
      </c>
      <c r="H5" s="7">
        <f>30-18</f>
        <v>12</v>
      </c>
      <c r="I5" s="25" t="s">
        <v>12</v>
      </c>
      <c r="J5" s="44" t="s">
        <v>218</v>
      </c>
      <c r="K5" s="41"/>
    </row>
    <row r="6" spans="2:11" ht="34.5" customHeight="1" thickBot="1">
      <c r="B6" s="18" t="s">
        <v>187</v>
      </c>
      <c r="C6" s="19" t="s">
        <v>3</v>
      </c>
      <c r="D6" s="10" t="s">
        <v>29</v>
      </c>
      <c r="E6" s="19" t="s">
        <v>171</v>
      </c>
      <c r="F6" s="10" t="s">
        <v>182</v>
      </c>
      <c r="G6" s="10" t="s">
        <v>182</v>
      </c>
      <c r="H6" s="10">
        <f>14-9</f>
        <v>5</v>
      </c>
      <c r="I6" s="26" t="s">
        <v>229</v>
      </c>
      <c r="J6" s="45" t="s">
        <v>216</v>
      </c>
      <c r="K6" s="42" t="s">
        <v>213</v>
      </c>
    </row>
    <row r="7" spans="2:11" ht="34.5" customHeight="1">
      <c r="B7" s="20" t="s">
        <v>190</v>
      </c>
      <c r="C7" s="22" t="s">
        <v>10</v>
      </c>
      <c r="D7" s="21" t="s">
        <v>2</v>
      </c>
      <c r="E7" s="22" t="s">
        <v>175</v>
      </c>
      <c r="F7" s="21" t="s">
        <v>182</v>
      </c>
      <c r="G7" s="21" t="s">
        <v>182</v>
      </c>
      <c r="H7" s="21">
        <f>30-18</f>
        <v>12</v>
      </c>
      <c r="I7" s="27" t="s">
        <v>19</v>
      </c>
      <c r="J7" s="43" t="s">
        <v>219</v>
      </c>
      <c r="K7" s="38"/>
    </row>
    <row r="8" spans="2:11" ht="34.5" customHeight="1">
      <c r="B8" s="6" t="s">
        <v>191</v>
      </c>
      <c r="C8" s="12" t="s">
        <v>7</v>
      </c>
      <c r="D8" s="7" t="s">
        <v>2</v>
      </c>
      <c r="E8" s="12" t="s">
        <v>170</v>
      </c>
      <c r="F8" s="7" t="s">
        <v>182</v>
      </c>
      <c r="G8" s="7" t="s">
        <v>182</v>
      </c>
      <c r="H8" s="7">
        <f>94-82</f>
        <v>12</v>
      </c>
      <c r="I8" s="25" t="s">
        <v>16</v>
      </c>
      <c r="J8" s="44" t="s">
        <v>220</v>
      </c>
      <c r="K8" s="29"/>
    </row>
    <row r="9" spans="2:11" ht="34.5" customHeight="1">
      <c r="B9" s="6" t="s">
        <v>193</v>
      </c>
      <c r="C9" s="12" t="s">
        <v>5</v>
      </c>
      <c r="D9" s="7" t="s">
        <v>2</v>
      </c>
      <c r="E9" s="12" t="s">
        <v>177</v>
      </c>
      <c r="F9" s="7" t="s">
        <v>182</v>
      </c>
      <c r="G9" s="7" t="s">
        <v>182</v>
      </c>
      <c r="H9" s="7">
        <f>62-50</f>
        <v>12</v>
      </c>
      <c r="I9" s="25" t="s">
        <v>14</v>
      </c>
      <c r="J9" s="44" t="s">
        <v>221</v>
      </c>
      <c r="K9" s="29"/>
    </row>
    <row r="10" spans="2:11" ht="34.5" customHeight="1" thickBot="1">
      <c r="B10" s="9" t="s">
        <v>192</v>
      </c>
      <c r="C10" s="19" t="s">
        <v>9</v>
      </c>
      <c r="D10" s="10" t="s">
        <v>2</v>
      </c>
      <c r="E10" s="19" t="s">
        <v>176</v>
      </c>
      <c r="F10" s="10" t="s">
        <v>182</v>
      </c>
      <c r="G10" s="10" t="s">
        <v>182</v>
      </c>
      <c r="H10" s="10">
        <f>142-130</f>
        <v>12</v>
      </c>
      <c r="I10" s="26" t="s">
        <v>18</v>
      </c>
      <c r="J10" s="45" t="s">
        <v>222</v>
      </c>
      <c r="K10" s="30"/>
    </row>
    <row r="11" spans="2:11" ht="34.5" customHeight="1">
      <c r="B11" s="23" t="s">
        <v>194</v>
      </c>
      <c r="C11" s="22" t="s">
        <v>4</v>
      </c>
      <c r="D11" s="21" t="s">
        <v>2</v>
      </c>
      <c r="E11" s="22" t="s">
        <v>178</v>
      </c>
      <c r="F11" s="21" t="s">
        <v>182</v>
      </c>
      <c r="G11" s="21" t="s">
        <v>182</v>
      </c>
      <c r="H11" s="21">
        <f>46-34</f>
        <v>12</v>
      </c>
      <c r="I11" s="27" t="s">
        <v>13</v>
      </c>
      <c r="J11" s="43" t="s">
        <v>223</v>
      </c>
      <c r="K11" s="38"/>
    </row>
    <row r="12" spans="2:11" ht="34.5" customHeight="1">
      <c r="B12" s="8" t="s">
        <v>196</v>
      </c>
      <c r="C12" s="12" t="s">
        <v>11</v>
      </c>
      <c r="D12" s="7" t="s">
        <v>2</v>
      </c>
      <c r="E12" s="12" t="s">
        <v>180</v>
      </c>
      <c r="F12" s="7" t="s">
        <v>182</v>
      </c>
      <c r="G12" s="7" t="s">
        <v>182</v>
      </c>
      <c r="H12" s="7">
        <f>110-98</f>
        <v>12</v>
      </c>
      <c r="I12" s="25" t="s">
        <v>20</v>
      </c>
      <c r="J12" s="44" t="s">
        <v>225</v>
      </c>
      <c r="K12" s="29"/>
    </row>
    <row r="13" spans="2:11" ht="34.5" customHeight="1" thickBot="1">
      <c r="B13" s="9" t="s">
        <v>195</v>
      </c>
      <c r="C13" s="19" t="s">
        <v>8</v>
      </c>
      <c r="D13" s="10" t="s">
        <v>2</v>
      </c>
      <c r="E13" s="19" t="s">
        <v>179</v>
      </c>
      <c r="F13" s="10" t="s">
        <v>182</v>
      </c>
      <c r="G13" s="10" t="s">
        <v>182</v>
      </c>
      <c r="H13" s="10">
        <f>238-226</f>
        <v>12</v>
      </c>
      <c r="I13" s="26" t="s">
        <v>17</v>
      </c>
      <c r="J13" s="45" t="s">
        <v>224</v>
      </c>
      <c r="K13" s="30"/>
    </row>
    <row r="14" spans="2:11" ht="34.5" customHeight="1" thickBot="1">
      <c r="B14" s="9" t="s">
        <v>197</v>
      </c>
      <c r="C14" s="19" t="s">
        <v>209</v>
      </c>
      <c r="D14" s="10" t="s">
        <v>29</v>
      </c>
      <c r="E14" s="13" t="s">
        <v>209</v>
      </c>
      <c r="F14" s="10" t="s">
        <v>182</v>
      </c>
      <c r="G14" s="10" t="s">
        <v>182</v>
      </c>
      <c r="H14" s="10">
        <v>12</v>
      </c>
      <c r="I14" s="28" t="s">
        <v>230</v>
      </c>
      <c r="J14" s="46" t="s">
        <v>226</v>
      </c>
      <c r="K14" s="39"/>
    </row>
    <row r="16" spans="2:11">
      <c r="I16" s="1">
        <f>30-18</f>
        <v>12</v>
      </c>
    </row>
    <row r="17" spans="9:9">
      <c r="I17" s="1">
        <f>238-226</f>
        <v>12</v>
      </c>
    </row>
    <row r="18" spans="9:9">
      <c r="I18" s="1">
        <f>110-98</f>
        <v>12</v>
      </c>
    </row>
  </sheetData>
  <phoneticPr fontId="2"/>
  <pageMargins left="0.7" right="0.7" top="0.75" bottom="0.75" header="0.3" footer="0.3"/>
  <pageSetup paperSize="9"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52BE-CFE7-4CB4-915A-83055BC90031}">
  <sheetPr>
    <pageSetUpPr fitToPage="1"/>
  </sheetPr>
  <dimension ref="A1:Y17"/>
  <sheetViews>
    <sheetView zoomScale="85" zoomScaleNormal="85" workbookViewId="0">
      <selection activeCell="E23" sqref="E23"/>
    </sheetView>
  </sheetViews>
  <sheetFormatPr defaultRowHeight="13.5"/>
  <cols>
    <col min="1" max="1" width="3.5" style="60" customWidth="1"/>
    <col min="2" max="2" width="13" style="59" bestFit="1" customWidth="1"/>
    <col min="3" max="3" width="16.625" style="59" bestFit="1" customWidth="1"/>
    <col min="4" max="4" width="15.875" style="59" customWidth="1"/>
    <col min="5" max="5" width="11" style="59" customWidth="1"/>
    <col min="6" max="6" width="14.5" style="59" bestFit="1" customWidth="1"/>
    <col min="7" max="7" width="11" style="59" customWidth="1"/>
    <col min="8" max="8" width="16" style="59" bestFit="1" customWidth="1"/>
    <col min="9" max="9" width="11" style="59" customWidth="1"/>
    <col min="10" max="10" width="14.875" style="59" bestFit="1" customWidth="1"/>
    <col min="11" max="11" width="11" style="59" customWidth="1"/>
    <col min="12" max="12" width="14.5" style="59" bestFit="1" customWidth="1"/>
    <col min="13" max="13" width="11" style="59" customWidth="1"/>
    <col min="14" max="14" width="14.5" style="59" bestFit="1" customWidth="1"/>
    <col min="15" max="15" width="11" style="59" customWidth="1"/>
    <col min="16" max="16" width="16.125" style="59" bestFit="1" customWidth="1"/>
    <col min="17" max="17" width="11" style="59" customWidth="1"/>
    <col min="18" max="18" width="14.5" style="59" bestFit="1" customWidth="1"/>
    <col min="19" max="19" width="11" style="59" customWidth="1"/>
    <col min="20" max="20" width="16.125" style="59" bestFit="1" customWidth="1"/>
    <col min="21" max="21" width="11" style="59" customWidth="1"/>
    <col min="22" max="22" width="16.125" style="59" bestFit="1" customWidth="1"/>
    <col min="23" max="23" width="11" style="60" customWidth="1"/>
    <col min="24" max="24" width="14.875" style="59" bestFit="1" customWidth="1"/>
    <col min="25" max="25" width="11" style="60" customWidth="1"/>
    <col min="26" max="16384" width="9" style="60"/>
  </cols>
  <sheetData>
    <row r="1" spans="1:25" ht="42.75" customHeight="1" thickBot="1">
      <c r="A1" s="58" t="s">
        <v>166</v>
      </c>
    </row>
    <row r="2" spans="1:25" ht="25.5" customHeight="1" thickBot="1">
      <c r="B2" s="15"/>
      <c r="C2" s="61" t="s">
        <v>165</v>
      </c>
      <c r="D2" s="14"/>
      <c r="E2" s="70" t="s">
        <v>184</v>
      </c>
      <c r="F2" s="71"/>
    </row>
    <row r="3" spans="1:25" ht="14.25" thickBot="1"/>
    <row r="4" spans="1:25" s="48" customFormat="1" ht="38.25" customHeight="1" thickBot="1">
      <c r="B4" s="72" t="s">
        <v>30</v>
      </c>
      <c r="C4" s="73"/>
      <c r="D4" s="72" t="s">
        <v>22</v>
      </c>
      <c r="E4" s="73"/>
      <c r="F4" s="72" t="s">
        <v>23</v>
      </c>
      <c r="G4" s="73"/>
      <c r="H4" s="72" t="s">
        <v>31</v>
      </c>
      <c r="I4" s="73"/>
      <c r="J4" s="72" t="s">
        <v>32</v>
      </c>
      <c r="K4" s="73"/>
      <c r="L4" s="72" t="s">
        <v>33</v>
      </c>
      <c r="M4" s="73"/>
      <c r="N4" s="72" t="s">
        <v>24</v>
      </c>
      <c r="O4" s="73"/>
      <c r="P4" s="72" t="s">
        <v>25</v>
      </c>
      <c r="Q4" s="73"/>
      <c r="R4" s="72" t="s">
        <v>34</v>
      </c>
      <c r="S4" s="73"/>
      <c r="T4" s="72" t="s">
        <v>26</v>
      </c>
      <c r="U4" s="73"/>
      <c r="V4" s="72" t="s">
        <v>27</v>
      </c>
      <c r="W4" s="73"/>
      <c r="X4" s="72" t="s">
        <v>198</v>
      </c>
      <c r="Y4" s="73"/>
    </row>
    <row r="5" spans="1:25" s="49" customFormat="1" ht="24.75" customHeight="1">
      <c r="B5" s="62" t="s">
        <v>35</v>
      </c>
      <c r="C5" s="63" t="s">
        <v>211</v>
      </c>
      <c r="D5" s="62" t="s">
        <v>47</v>
      </c>
      <c r="E5" s="63" t="s">
        <v>210</v>
      </c>
      <c r="F5" s="62" t="s">
        <v>61</v>
      </c>
      <c r="G5" s="63" t="s">
        <v>210</v>
      </c>
      <c r="H5" s="64" t="s">
        <v>42</v>
      </c>
      <c r="I5" s="63" t="s">
        <v>210</v>
      </c>
      <c r="J5" s="62" t="s">
        <v>74</v>
      </c>
      <c r="K5" s="63" t="s">
        <v>210</v>
      </c>
      <c r="L5" s="62" t="s">
        <v>87</v>
      </c>
      <c r="M5" s="63" t="s">
        <v>210</v>
      </c>
      <c r="N5" s="62" t="s">
        <v>113</v>
      </c>
      <c r="O5" s="63" t="s">
        <v>210</v>
      </c>
      <c r="P5" s="62" t="s">
        <v>100</v>
      </c>
      <c r="Q5" s="63" t="s">
        <v>210</v>
      </c>
      <c r="R5" s="62" t="s">
        <v>126</v>
      </c>
      <c r="S5" s="63" t="s">
        <v>210</v>
      </c>
      <c r="T5" s="62" t="s">
        <v>139</v>
      </c>
      <c r="U5" s="63" t="s">
        <v>210</v>
      </c>
      <c r="V5" s="62" t="s">
        <v>140</v>
      </c>
      <c r="W5" s="63" t="s">
        <v>210</v>
      </c>
      <c r="X5" s="62" t="s">
        <v>199</v>
      </c>
      <c r="Y5" s="63" t="s">
        <v>28</v>
      </c>
    </row>
    <row r="6" spans="1:25" s="49" customFormat="1" ht="24.75" customHeight="1">
      <c r="B6" s="50" t="s">
        <v>36</v>
      </c>
      <c r="C6" s="51"/>
      <c r="D6" s="65" t="s">
        <v>48</v>
      </c>
      <c r="E6" s="66" t="s">
        <v>210</v>
      </c>
      <c r="F6" s="50" t="s">
        <v>62</v>
      </c>
      <c r="G6" s="51"/>
      <c r="H6" s="67" t="s">
        <v>185</v>
      </c>
      <c r="I6" s="66" t="s">
        <v>210</v>
      </c>
      <c r="J6" s="65" t="s">
        <v>75</v>
      </c>
      <c r="K6" s="66" t="s">
        <v>210</v>
      </c>
      <c r="L6" s="50" t="s">
        <v>88</v>
      </c>
      <c r="M6" s="51"/>
      <c r="N6" s="50" t="s">
        <v>114</v>
      </c>
      <c r="O6" s="51"/>
      <c r="P6" s="50" t="s">
        <v>101</v>
      </c>
      <c r="Q6" s="51"/>
      <c r="R6" s="65" t="s">
        <v>127</v>
      </c>
      <c r="S6" s="66" t="s">
        <v>210</v>
      </c>
      <c r="T6" s="50" t="s">
        <v>141</v>
      </c>
      <c r="U6" s="51"/>
      <c r="V6" s="50" t="s">
        <v>153</v>
      </c>
      <c r="W6" s="52"/>
      <c r="X6" s="65" t="s">
        <v>200</v>
      </c>
      <c r="Y6" s="66" t="s">
        <v>210</v>
      </c>
    </row>
    <row r="7" spans="1:25" s="49" customFormat="1" ht="24.75" customHeight="1">
      <c r="B7" s="50" t="s">
        <v>37</v>
      </c>
      <c r="C7" s="51"/>
      <c r="D7" s="50" t="s">
        <v>49</v>
      </c>
      <c r="E7" s="51"/>
      <c r="F7" s="50" t="s">
        <v>63</v>
      </c>
      <c r="G7" s="51"/>
      <c r="H7" s="53" t="s">
        <v>43</v>
      </c>
      <c r="I7" s="51"/>
      <c r="J7" s="50" t="s">
        <v>76</v>
      </c>
      <c r="K7" s="51"/>
      <c r="L7" s="50" t="s">
        <v>89</v>
      </c>
      <c r="M7" s="51"/>
      <c r="N7" s="50" t="s">
        <v>115</v>
      </c>
      <c r="O7" s="51"/>
      <c r="P7" s="50" t="s">
        <v>102</v>
      </c>
      <c r="Q7" s="51"/>
      <c r="R7" s="65" t="s">
        <v>128</v>
      </c>
      <c r="S7" s="66" t="s">
        <v>210</v>
      </c>
      <c r="T7" s="50" t="s">
        <v>142</v>
      </c>
      <c r="U7" s="51"/>
      <c r="V7" s="50" t="s">
        <v>154</v>
      </c>
      <c r="W7" s="52"/>
      <c r="X7" s="50" t="s">
        <v>201</v>
      </c>
      <c r="Y7" s="51"/>
    </row>
    <row r="8" spans="1:25" s="49" customFormat="1" ht="24.75" customHeight="1">
      <c r="B8" s="50" t="s">
        <v>38</v>
      </c>
      <c r="C8" s="51"/>
      <c r="D8" s="50" t="s">
        <v>50</v>
      </c>
      <c r="E8" s="51"/>
      <c r="F8" s="50" t="s">
        <v>64</v>
      </c>
      <c r="G8" s="51"/>
      <c r="H8" s="53" t="s">
        <v>44</v>
      </c>
      <c r="I8" s="51"/>
      <c r="J8" s="50" t="s">
        <v>77</v>
      </c>
      <c r="K8" s="51"/>
      <c r="L8" s="50" t="s">
        <v>90</v>
      </c>
      <c r="M8" s="51"/>
      <c r="N8" s="50" t="s">
        <v>116</v>
      </c>
      <c r="O8" s="51"/>
      <c r="P8" s="50" t="s">
        <v>103</v>
      </c>
      <c r="Q8" s="51"/>
      <c r="R8" s="65" t="s">
        <v>129</v>
      </c>
      <c r="S8" s="66" t="s">
        <v>210</v>
      </c>
      <c r="T8" s="50" t="s">
        <v>143</v>
      </c>
      <c r="U8" s="51"/>
      <c r="V8" s="50" t="s">
        <v>155</v>
      </c>
      <c r="W8" s="52"/>
      <c r="X8" s="50" t="s">
        <v>202</v>
      </c>
      <c r="Y8" s="51"/>
    </row>
    <row r="9" spans="1:25" s="49" customFormat="1" ht="24.75" customHeight="1">
      <c r="B9" s="50" t="s">
        <v>39</v>
      </c>
      <c r="C9" s="51"/>
      <c r="D9" s="50" t="s">
        <v>51</v>
      </c>
      <c r="E9" s="51"/>
      <c r="F9" s="50" t="s">
        <v>65</v>
      </c>
      <c r="G9" s="51"/>
      <c r="H9" s="53" t="s">
        <v>45</v>
      </c>
      <c r="I9" s="51"/>
      <c r="J9" s="50" t="s">
        <v>78</v>
      </c>
      <c r="K9" s="51"/>
      <c r="L9" s="50" t="s">
        <v>91</v>
      </c>
      <c r="M9" s="51"/>
      <c r="N9" s="50" t="s">
        <v>117</v>
      </c>
      <c r="O9" s="51"/>
      <c r="P9" s="50" t="s">
        <v>104</v>
      </c>
      <c r="Q9" s="51"/>
      <c r="R9" s="65" t="s">
        <v>130</v>
      </c>
      <c r="S9" s="66" t="s">
        <v>210</v>
      </c>
      <c r="T9" s="50" t="s">
        <v>144</v>
      </c>
      <c r="U9" s="51"/>
      <c r="V9" s="50" t="s">
        <v>156</v>
      </c>
      <c r="W9" s="52"/>
      <c r="X9" s="50" t="s">
        <v>203</v>
      </c>
      <c r="Y9" s="51"/>
    </row>
    <row r="10" spans="1:25" s="49" customFormat="1" ht="24.75" customHeight="1">
      <c r="B10" s="50" t="s">
        <v>40</v>
      </c>
      <c r="C10" s="51"/>
      <c r="D10" s="50" t="s">
        <v>52</v>
      </c>
      <c r="E10" s="51"/>
      <c r="F10" s="50" t="s">
        <v>66</v>
      </c>
      <c r="G10" s="51"/>
      <c r="H10" s="67" t="s">
        <v>46</v>
      </c>
      <c r="I10" s="66" t="s">
        <v>28</v>
      </c>
      <c r="J10" s="50" t="s">
        <v>79</v>
      </c>
      <c r="K10" s="51"/>
      <c r="L10" s="50" t="s">
        <v>92</v>
      </c>
      <c r="M10" s="51"/>
      <c r="N10" s="50" t="s">
        <v>118</v>
      </c>
      <c r="O10" s="51"/>
      <c r="P10" s="50" t="s">
        <v>105</v>
      </c>
      <c r="Q10" s="51"/>
      <c r="R10" s="50" t="s">
        <v>131</v>
      </c>
      <c r="S10" s="51"/>
      <c r="T10" s="50" t="s">
        <v>145</v>
      </c>
      <c r="U10" s="51"/>
      <c r="V10" s="50" t="s">
        <v>157</v>
      </c>
      <c r="W10" s="52"/>
      <c r="X10" s="50" t="s">
        <v>204</v>
      </c>
      <c r="Y10" s="51"/>
    </row>
    <row r="11" spans="1:25" s="49" customFormat="1" ht="24.75" customHeight="1">
      <c r="B11" s="65" t="s">
        <v>41</v>
      </c>
      <c r="C11" s="66" t="s">
        <v>28</v>
      </c>
      <c r="D11" s="50" t="s">
        <v>53</v>
      </c>
      <c r="E11" s="51"/>
      <c r="F11" s="50" t="s">
        <v>67</v>
      </c>
      <c r="G11" s="51"/>
      <c r="H11" s="50"/>
      <c r="I11" s="51"/>
      <c r="J11" s="50" t="s">
        <v>80</v>
      </c>
      <c r="K11" s="51"/>
      <c r="L11" s="50" t="s">
        <v>93</v>
      </c>
      <c r="M11" s="51"/>
      <c r="N11" s="50" t="s">
        <v>119</v>
      </c>
      <c r="O11" s="51"/>
      <c r="P11" s="50" t="s">
        <v>106</v>
      </c>
      <c r="Q11" s="51"/>
      <c r="R11" s="50" t="s">
        <v>132</v>
      </c>
      <c r="S11" s="51"/>
      <c r="T11" s="50" t="s">
        <v>146</v>
      </c>
      <c r="U11" s="51"/>
      <c r="V11" s="50" t="s">
        <v>158</v>
      </c>
      <c r="W11" s="52"/>
      <c r="X11" s="50" t="s">
        <v>205</v>
      </c>
      <c r="Y11" s="51"/>
    </row>
    <row r="12" spans="1:25" s="49" customFormat="1" ht="24.75" customHeight="1">
      <c r="B12" s="47"/>
      <c r="C12" s="51"/>
      <c r="D12" s="50" t="s">
        <v>54</v>
      </c>
      <c r="E12" s="51"/>
      <c r="F12" s="50" t="s">
        <v>68</v>
      </c>
      <c r="G12" s="51"/>
      <c r="H12" s="50"/>
      <c r="I12" s="51"/>
      <c r="J12" s="50" t="s">
        <v>81</v>
      </c>
      <c r="K12" s="51"/>
      <c r="L12" s="50" t="s">
        <v>94</v>
      </c>
      <c r="M12" s="51"/>
      <c r="N12" s="50" t="s">
        <v>120</v>
      </c>
      <c r="O12" s="51"/>
      <c r="P12" s="50" t="s">
        <v>107</v>
      </c>
      <c r="Q12" s="51"/>
      <c r="R12" s="50" t="s">
        <v>133</v>
      </c>
      <c r="S12" s="51"/>
      <c r="T12" s="50" t="s">
        <v>147</v>
      </c>
      <c r="U12" s="51"/>
      <c r="V12" s="50" t="s">
        <v>159</v>
      </c>
      <c r="W12" s="52"/>
      <c r="X12" s="50" t="s">
        <v>206</v>
      </c>
      <c r="Y12" s="51"/>
    </row>
    <row r="13" spans="1:25" s="49" customFormat="1" ht="24.75" customHeight="1">
      <c r="B13" s="47"/>
      <c r="C13" s="51"/>
      <c r="D13" s="50" t="s">
        <v>55</v>
      </c>
      <c r="E13" s="51"/>
      <c r="F13" s="50" t="s">
        <v>69</v>
      </c>
      <c r="G13" s="51"/>
      <c r="H13" s="50"/>
      <c r="I13" s="51"/>
      <c r="J13" s="50" t="s">
        <v>82</v>
      </c>
      <c r="K13" s="51"/>
      <c r="L13" s="50" t="s">
        <v>95</v>
      </c>
      <c r="M13" s="51"/>
      <c r="N13" s="50" t="s">
        <v>121</v>
      </c>
      <c r="O13" s="51"/>
      <c r="P13" s="50" t="s">
        <v>108</v>
      </c>
      <c r="Q13" s="51"/>
      <c r="R13" s="50" t="s">
        <v>134</v>
      </c>
      <c r="S13" s="51"/>
      <c r="T13" s="50" t="s">
        <v>148</v>
      </c>
      <c r="U13" s="51"/>
      <c r="V13" s="50" t="s">
        <v>160</v>
      </c>
      <c r="W13" s="52"/>
      <c r="X13" s="50" t="s">
        <v>207</v>
      </c>
      <c r="Y13" s="51"/>
    </row>
    <row r="14" spans="1:25" s="49" customFormat="1" ht="24.75" customHeight="1">
      <c r="B14" s="47"/>
      <c r="C14" s="51"/>
      <c r="D14" s="50" t="s">
        <v>56</v>
      </c>
      <c r="E14" s="51"/>
      <c r="F14" s="50" t="s">
        <v>70</v>
      </c>
      <c r="G14" s="51"/>
      <c r="H14" s="50"/>
      <c r="I14" s="51"/>
      <c r="J14" s="50" t="s">
        <v>83</v>
      </c>
      <c r="K14" s="51"/>
      <c r="L14" s="50" t="s">
        <v>96</v>
      </c>
      <c r="M14" s="51"/>
      <c r="N14" s="50" t="s">
        <v>122</v>
      </c>
      <c r="O14" s="51"/>
      <c r="P14" s="50" t="s">
        <v>109</v>
      </c>
      <c r="Q14" s="51"/>
      <c r="R14" s="50" t="s">
        <v>135</v>
      </c>
      <c r="S14" s="51"/>
      <c r="T14" s="50" t="s">
        <v>149</v>
      </c>
      <c r="U14" s="51"/>
      <c r="V14" s="50" t="s">
        <v>161</v>
      </c>
      <c r="W14" s="52"/>
      <c r="X14" s="50" t="s">
        <v>208</v>
      </c>
      <c r="Y14" s="51"/>
    </row>
    <row r="15" spans="1:25" s="49" customFormat="1" ht="24.75" customHeight="1">
      <c r="B15" s="47"/>
      <c r="C15" s="51"/>
      <c r="D15" s="50" t="s">
        <v>57</v>
      </c>
      <c r="E15" s="51"/>
      <c r="F15" s="50" t="s">
        <v>71</v>
      </c>
      <c r="G15" s="51"/>
      <c r="H15" s="50"/>
      <c r="I15" s="51"/>
      <c r="J15" s="50" t="s">
        <v>84</v>
      </c>
      <c r="K15" s="51"/>
      <c r="L15" s="50" t="s">
        <v>97</v>
      </c>
      <c r="M15" s="51"/>
      <c r="N15" s="50" t="s">
        <v>123</v>
      </c>
      <c r="O15" s="51"/>
      <c r="P15" s="50" t="s">
        <v>110</v>
      </c>
      <c r="Q15" s="51"/>
      <c r="R15" s="50" t="s">
        <v>136</v>
      </c>
      <c r="S15" s="51"/>
      <c r="T15" s="50" t="s">
        <v>150</v>
      </c>
      <c r="U15" s="51"/>
      <c r="V15" s="50" t="s">
        <v>162</v>
      </c>
      <c r="W15" s="52"/>
      <c r="X15" s="50" t="s">
        <v>208</v>
      </c>
      <c r="Y15" s="51"/>
    </row>
    <row r="16" spans="1:25" s="49" customFormat="1" ht="24.75" customHeight="1">
      <c r="B16" s="47"/>
      <c r="C16" s="51"/>
      <c r="D16" s="50" t="s">
        <v>58</v>
      </c>
      <c r="E16" s="51"/>
      <c r="F16" s="50" t="s">
        <v>72</v>
      </c>
      <c r="G16" s="51"/>
      <c r="H16" s="50"/>
      <c r="I16" s="51"/>
      <c r="J16" s="50" t="s">
        <v>85</v>
      </c>
      <c r="K16" s="51"/>
      <c r="L16" s="50" t="s">
        <v>98</v>
      </c>
      <c r="M16" s="51"/>
      <c r="N16" s="50" t="s">
        <v>124</v>
      </c>
      <c r="O16" s="51"/>
      <c r="P16" s="50" t="s">
        <v>111</v>
      </c>
      <c r="Q16" s="51"/>
      <c r="R16" s="50" t="s">
        <v>137</v>
      </c>
      <c r="S16" s="51"/>
      <c r="T16" s="50" t="s">
        <v>151</v>
      </c>
      <c r="U16" s="51"/>
      <c r="V16" s="50" t="s">
        <v>163</v>
      </c>
      <c r="W16" s="52"/>
      <c r="X16" s="50"/>
      <c r="Y16" s="51"/>
    </row>
    <row r="17" spans="2:25" s="49" customFormat="1" ht="24.75" customHeight="1" thickBot="1">
      <c r="B17" s="54"/>
      <c r="C17" s="55"/>
      <c r="D17" s="56" t="s">
        <v>59</v>
      </c>
      <c r="E17" s="55"/>
      <c r="F17" s="68" t="s">
        <v>73</v>
      </c>
      <c r="G17" s="69" t="s">
        <v>28</v>
      </c>
      <c r="H17" s="56"/>
      <c r="I17" s="55"/>
      <c r="J17" s="68" t="s">
        <v>86</v>
      </c>
      <c r="K17" s="69" t="s">
        <v>28</v>
      </c>
      <c r="L17" s="56" t="s">
        <v>99</v>
      </c>
      <c r="M17" s="55"/>
      <c r="N17" s="56" t="s">
        <v>125</v>
      </c>
      <c r="O17" s="55"/>
      <c r="P17" s="68" t="s">
        <v>112</v>
      </c>
      <c r="Q17" s="69" t="s">
        <v>28</v>
      </c>
      <c r="R17" s="68" t="s">
        <v>138</v>
      </c>
      <c r="S17" s="69" t="s">
        <v>28</v>
      </c>
      <c r="T17" s="56" t="s">
        <v>152</v>
      </c>
      <c r="U17" s="55"/>
      <c r="V17" s="56" t="s">
        <v>164</v>
      </c>
      <c r="W17" s="57"/>
      <c r="X17" s="56"/>
      <c r="Y17" s="55"/>
    </row>
  </sheetData>
  <mergeCells count="13">
    <mergeCell ref="E2:F2"/>
    <mergeCell ref="X4:Y4"/>
    <mergeCell ref="L4:M4"/>
    <mergeCell ref="B4:C4"/>
    <mergeCell ref="H4:I4"/>
    <mergeCell ref="D4:E4"/>
    <mergeCell ref="F4:G4"/>
    <mergeCell ref="J4:K4"/>
    <mergeCell ref="P4:Q4"/>
    <mergeCell ref="N4:O4"/>
    <mergeCell ref="R4:S4"/>
    <mergeCell ref="T4:U4"/>
    <mergeCell ref="V4:W4"/>
  </mergeCells>
  <phoneticPr fontId="2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一覧表</vt:lpstr>
      <vt:lpstr>IPアドレスレンジマトリックス</vt:lpstr>
      <vt:lpstr>IPアドレスレンジマトリックス!Print_Area</vt:lpstr>
      <vt:lpstr>一覧表!Print_Area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只石　梨菜</dc:creator>
  <cp:lastModifiedBy>濵田　政一</cp:lastModifiedBy>
  <cp:lastPrinted>2026-01-20T22:45:13Z</cp:lastPrinted>
  <dcterms:created xsi:type="dcterms:W3CDTF">2015-06-05T18:19:34Z</dcterms:created>
  <dcterms:modified xsi:type="dcterms:W3CDTF">2026-06-21T10:59:38Z</dcterms:modified>
</cp:coreProperties>
</file>